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tendance\"/>
    </mc:Choice>
  </mc:AlternateContent>
  <xr:revisionPtr revIDLastSave="0" documentId="13_ncr:1_{27E3D654-09D4-49AA-B2FF-EFF0808167AE}" xr6:coauthVersionLast="47" xr6:coauthVersionMax="47" xr10:uidLastSave="{00000000-0000-0000-0000-000000000000}"/>
  <bookViews>
    <workbookView xWindow="-120" yWindow="-120" windowWidth="24240" windowHeight="13140" xr2:uid="{1EF23039-929C-4DA6-8AA9-7588C5D620ED}"/>
  </bookViews>
  <sheets>
    <sheet name="Daily_Record" sheetId="6" r:id="rId1"/>
    <sheet name="Attendence_Record" sheetId="2" r:id="rId2"/>
    <sheet name="Time_Table" sheetId="3" r:id="rId3"/>
    <sheet name="Subjec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6" l="1"/>
  <c r="I3" i="6"/>
  <c r="H4" i="6"/>
  <c r="H3" i="6"/>
  <c r="G4" i="6"/>
  <c r="G3" i="6"/>
  <c r="F4" i="6"/>
  <c r="F3" i="6"/>
  <c r="E4" i="6"/>
  <c r="E3" i="6"/>
  <c r="D4" i="6"/>
  <c r="D3" i="6"/>
  <c r="B1" i="6"/>
  <c r="H5" i="6" l="1"/>
  <c r="I5" i="6"/>
  <c r="F5" i="6"/>
  <c r="G5" i="6"/>
  <c r="D5" i="6"/>
  <c r="E5" i="6"/>
</calcChain>
</file>

<file path=xl/sharedStrings.xml><?xml version="1.0" encoding="utf-8"?>
<sst xmlns="http://schemas.openxmlformats.org/spreadsheetml/2006/main" count="144" uniqueCount="54">
  <si>
    <t>Name</t>
  </si>
  <si>
    <t>DM</t>
  </si>
  <si>
    <t>PHP</t>
  </si>
  <si>
    <t>JAVA</t>
  </si>
  <si>
    <t>CG</t>
  </si>
  <si>
    <t>Present</t>
  </si>
  <si>
    <t>Absent</t>
  </si>
  <si>
    <t>QT</t>
  </si>
  <si>
    <t>SP</t>
  </si>
  <si>
    <t>PET</t>
  </si>
  <si>
    <t xml:space="preserve"> PROJECT LAB</t>
  </si>
  <si>
    <t>9:45-10:30</t>
  </si>
  <si>
    <t>10:30-11:15</t>
  </si>
  <si>
    <t>11:30-12:30</t>
  </si>
  <si>
    <t>1:00-1:45</t>
  </si>
  <si>
    <t>1:45-2:45</t>
  </si>
  <si>
    <t>3:00-3:40</t>
  </si>
  <si>
    <t>11:15-11:30</t>
  </si>
  <si>
    <t>Break</t>
  </si>
  <si>
    <t>12:30-1:00</t>
  </si>
  <si>
    <t>Lunch</t>
  </si>
  <si>
    <t>2:45-3:00</t>
  </si>
  <si>
    <t>B.Sc Computer Science</t>
  </si>
  <si>
    <t>Time</t>
  </si>
  <si>
    <t>Attendence Record</t>
  </si>
  <si>
    <t>Register Number</t>
  </si>
  <si>
    <t>Date</t>
  </si>
  <si>
    <t>Subjects</t>
  </si>
  <si>
    <t>S.No</t>
  </si>
  <si>
    <t>Full Name</t>
  </si>
  <si>
    <t>Data Mining</t>
  </si>
  <si>
    <t>Maximum Hrs per Day</t>
  </si>
  <si>
    <t>Total</t>
  </si>
  <si>
    <t>Comments</t>
  </si>
  <si>
    <t>III Year</t>
  </si>
  <si>
    <t>x</t>
  </si>
  <si>
    <t>Sri Vidya Mandir Arts &amp; Science College (Autonomus)</t>
  </si>
  <si>
    <t>S.NO</t>
  </si>
  <si>
    <t>Monday</t>
  </si>
  <si>
    <t>Tuesday</t>
  </si>
  <si>
    <t>Wednesday</t>
  </si>
  <si>
    <t>Thursday</t>
  </si>
  <si>
    <t>Friday</t>
  </si>
  <si>
    <t>Saturday</t>
  </si>
  <si>
    <t>20UCS76</t>
  </si>
  <si>
    <t>Ezhu</t>
  </si>
  <si>
    <t>san</t>
  </si>
  <si>
    <t>20UCS77</t>
  </si>
  <si>
    <t>a</t>
  </si>
  <si>
    <t>20UCS78</t>
  </si>
  <si>
    <t>late 1 st hr</t>
  </si>
  <si>
    <t>20UCS79</t>
  </si>
  <si>
    <t>sakthi</t>
  </si>
  <si>
    <t>20UCSC015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</si>
</sst>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1" xfId="0" applyBorder="1"/>
    <xf numFmtId="14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vertical="center"/>
    </xf>
    <xf numFmtId="0" fontId="3" fillId="0" borderId="7" xfId="0" applyFont="1" applyBorder="1"/>
    <xf numFmtId="0" fontId="3" fillId="0" borderId="8" xfId="0" applyFont="1" applyBorder="1"/>
    <xf numFmtId="0" fontId="0" fillId="0" borderId="19" xfId="0" applyBorder="1"/>
    <xf numFmtId="0" fontId="0" fillId="0" borderId="5" xfId="0" applyBorder="1"/>
    <xf numFmtId="0" fontId="3" fillId="0" borderId="20" xfId="0" applyFont="1" applyBorder="1"/>
    <xf numFmtId="0" fontId="0" fillId="0" borderId="21" xfId="0" applyBorder="1"/>
    <xf numFmtId="0" fontId="0" fillId="0" borderId="4" xfId="0" applyBorder="1"/>
    <xf numFmtId="0" fontId="0" fillId="0" borderId="22" xfId="0" applyBorder="1"/>
    <xf numFmtId="0" fontId="0" fillId="0" borderId="23" xfId="0" applyBorder="1"/>
    <xf numFmtId="0" fontId="0" fillId="0" borderId="3" xfId="0" applyBorder="1"/>
    <xf numFmtId="0" fontId="1" fillId="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0" fillId="6" borderId="9" xfId="0" applyFill="1" applyBorder="1"/>
    <xf numFmtId="0" fontId="3" fillId="0" borderId="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14" fontId="6" fillId="7" borderId="31" xfId="0" applyNumberFormat="1" applyFont="1" applyFill="1" applyBorder="1" applyAlignment="1">
      <alignment horizontal="center" vertical="center"/>
    </xf>
    <xf numFmtId="0" fontId="3" fillId="8" borderId="3" xfId="0" applyFont="1" applyFill="1" applyBorder="1"/>
    <xf numFmtId="0" fontId="3" fillId="8" borderId="3" xfId="0" applyFont="1" applyFill="1" applyBorder="1" applyAlignment="1">
      <alignment horizontal="center" vertical="center"/>
    </xf>
    <xf numFmtId="0" fontId="3" fillId="9" borderId="13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9" fillId="10" borderId="16" xfId="0" applyFont="1" applyFill="1" applyBorder="1" applyAlignment="1">
      <alignment horizontal="center" vertical="center"/>
    </xf>
    <xf numFmtId="0" fontId="10" fillId="4" borderId="25" xfId="0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0" fontId="3" fillId="8" borderId="6" xfId="0" applyFont="1" applyFill="1" applyBorder="1"/>
    <xf numFmtId="0" fontId="3" fillId="8" borderId="6" xfId="0" applyFont="1" applyFill="1" applyBorder="1" applyAlignment="1">
      <alignment horizontal="center" vertical="center"/>
    </xf>
    <xf numFmtId="0" fontId="0" fillId="3" borderId="32" xfId="0" applyFill="1" applyBorder="1"/>
    <xf numFmtId="0" fontId="0" fillId="3" borderId="23" xfId="0" applyFill="1" applyBorder="1"/>
    <xf numFmtId="14" fontId="0" fillId="0" borderId="1" xfId="0" applyNumberFormat="1" applyBorder="1"/>
    <xf numFmtId="0" fontId="0" fillId="4" borderId="1" xfId="0" applyFill="1" applyBorder="1"/>
    <xf numFmtId="0" fontId="5" fillId="0" borderId="26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 wrapText="1"/>
    </xf>
    <xf numFmtId="0" fontId="4" fillId="5" borderId="15" xfId="0" applyFont="1" applyFill="1" applyBorder="1" applyAlignment="1">
      <alignment horizontal="center" vertical="center" wrapText="1"/>
    </xf>
    <xf numFmtId="0" fontId="4" fillId="5" borderId="16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 textRotation="90"/>
    </xf>
    <xf numFmtId="0" fontId="0" fillId="0" borderId="6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Fill="1" applyBorder="1"/>
  </cellXfs>
  <cellStyles count="1">
    <cellStyle name="Normal" xfId="0" builtinId="0"/>
  </cellStyles>
  <dxfs count="9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0</xdr:row>
          <xdr:rowOff>66675</xdr:rowOff>
        </xdr:from>
        <xdr:to>
          <xdr:col>9</xdr:col>
          <xdr:colOff>895350</xdr:colOff>
          <xdr:row>0</xdr:row>
          <xdr:rowOff>304800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</a:t>
              </a: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fresh/Updat</a:t>
              </a: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2ED5A-E7EF-461D-AF2B-47F4D951482B}" name="Table1" displayName="Table1" ref="A1:C9" totalsRowShown="0" headerRowDxfId="5" headerRowBorderDxfId="4" tableBorderDxfId="3">
  <autoFilter ref="A1:C9" xr:uid="{76B2ED5A-E7EF-461D-AF2B-47F4D951482B}"/>
  <tableColumns count="3">
    <tableColumn id="1" xr3:uid="{E97337FC-4C26-487F-9682-93C19EEEC5F3}" name="S.No" dataDxfId="2"/>
    <tableColumn id="2" xr3:uid="{735E1B5B-2E9F-4C59-9978-2A3497B7B6AF}" name="Subjects" dataDxfId="1"/>
    <tableColumn id="3" xr3:uid="{5BD1FC8A-0539-4396-949B-EEB8A94E66B3}" name="Full 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9D511-2913-4AC8-A0A3-0E450538158F}">
  <sheetPr codeName="Sheet6"/>
  <dimension ref="A1:J10"/>
  <sheetViews>
    <sheetView tabSelected="1" workbookViewId="0">
      <pane ySplit="4" topLeftCell="A5" activePane="bottomLeft" state="frozen"/>
      <selection pane="bottomLeft" activeCell="J10" sqref="J10"/>
    </sheetView>
  </sheetViews>
  <sheetFormatPr defaultRowHeight="15" x14ac:dyDescent="0.25"/>
  <cols>
    <col min="1" max="1" width="11.7109375" bestFit="1" customWidth="1"/>
    <col min="2" max="2" width="23.85546875" customWidth="1"/>
    <col min="3" max="3" width="22.5703125" customWidth="1"/>
    <col min="4" max="4" width="16.28515625" style="17" customWidth="1"/>
    <col min="5" max="9" width="13.140625" style="17" customWidth="1"/>
    <col min="10" max="10" width="15.28515625" customWidth="1"/>
  </cols>
  <sheetData>
    <row r="1" spans="1:10" ht="26.25" customHeight="1" thickBot="1" x14ac:dyDescent="0.3">
      <c r="A1" s="21" t="s">
        <v>26</v>
      </c>
      <c r="B1" s="22">
        <f ca="1">TODAY()</f>
        <v>45040</v>
      </c>
      <c r="C1" s="40" t="s">
        <v>36</v>
      </c>
      <c r="D1" s="41"/>
      <c r="E1" s="41"/>
      <c r="F1" s="41"/>
      <c r="G1" s="41"/>
      <c r="H1" s="41"/>
      <c r="I1" s="41"/>
      <c r="J1" s="42"/>
    </row>
    <row r="2" spans="1:10" ht="18.75" customHeight="1" x14ac:dyDescent="0.25">
      <c r="A2" s="43" t="s">
        <v>22</v>
      </c>
      <c r="B2" s="44"/>
      <c r="C2" s="25" t="s">
        <v>32</v>
      </c>
      <c r="D2" s="26">
        <v>4</v>
      </c>
      <c r="E2" s="26">
        <v>4</v>
      </c>
      <c r="F2" s="26">
        <v>4</v>
      </c>
      <c r="G2" s="26">
        <v>4</v>
      </c>
      <c r="H2" s="26">
        <v>4</v>
      </c>
      <c r="I2" s="27">
        <v>4</v>
      </c>
      <c r="J2" s="49" t="s">
        <v>34</v>
      </c>
    </row>
    <row r="3" spans="1:10" ht="18.75" customHeight="1" x14ac:dyDescent="0.25">
      <c r="A3" s="45"/>
      <c r="B3" s="46"/>
      <c r="C3" s="28" t="s">
        <v>5</v>
      </c>
      <c r="D3" s="30">
        <f t="shared" ref="D3:I3" si="0">COUNTIF(D6:D45,"x")</f>
        <v>4</v>
      </c>
      <c r="E3" s="30">
        <f t="shared" si="0"/>
        <v>4</v>
      </c>
      <c r="F3" s="30">
        <f t="shared" si="0"/>
        <v>2</v>
      </c>
      <c r="G3" s="30">
        <f t="shared" si="0"/>
        <v>3</v>
      </c>
      <c r="H3" s="30">
        <f t="shared" si="0"/>
        <v>4</v>
      </c>
      <c r="I3" s="31">
        <f t="shared" si="0"/>
        <v>4</v>
      </c>
      <c r="J3" s="50"/>
    </row>
    <row r="4" spans="1:10" ht="18.75" customHeight="1" thickBot="1" x14ac:dyDescent="0.3">
      <c r="A4" s="47"/>
      <c r="B4" s="48"/>
      <c r="C4" s="29" t="s">
        <v>6</v>
      </c>
      <c r="D4" s="32">
        <f t="shared" ref="D4:I4" si="1">COUNTIF(D6:D45,"a")</f>
        <v>1</v>
      </c>
      <c r="E4" s="32">
        <f t="shared" si="1"/>
        <v>1</v>
      </c>
      <c r="F4" s="32">
        <f t="shared" si="1"/>
        <v>3</v>
      </c>
      <c r="G4" s="32">
        <f t="shared" si="1"/>
        <v>2</v>
      </c>
      <c r="H4" s="32">
        <f t="shared" si="1"/>
        <v>1</v>
      </c>
      <c r="I4" s="33">
        <f t="shared" si="1"/>
        <v>1</v>
      </c>
      <c r="J4" s="51"/>
    </row>
    <row r="5" spans="1:10" ht="22.5" customHeight="1" x14ac:dyDescent="0.25">
      <c r="A5" s="23" t="s">
        <v>37</v>
      </c>
      <c r="B5" s="23" t="s">
        <v>0</v>
      </c>
      <c r="C5" s="24" t="s">
        <v>25</v>
      </c>
      <c r="D5" s="24" t="str">
        <f ca="1">INDEX(Time_Table!$A$2:$J$9,MATCH(TEXT($B$1,"dddd"),Time_Table!$A$2:$A$9,0),MATCH(1,Time_Table!$A$2:$J$2,0))</f>
        <v>QT</v>
      </c>
      <c r="E5" s="24" t="str">
        <f ca="1">INDEX(Time_Table!$A$2:$J$9,MATCH(TEXT($B$1,"dddd"),Time_Table!$A$2:$A$9,0),MATCH(2,Time_Table!$A$2:$J$2,0))</f>
        <v>DM</v>
      </c>
      <c r="F5" s="24" t="str">
        <f ca="1">INDEX(Time_Table!$A$2:$J$9,MATCH(TEXT($B$1,"dddd"),Time_Table!$A$2:$A$9,0),MATCH(3,Time_Table!$A$2:$J$2,0))</f>
        <v>PHP</v>
      </c>
      <c r="G5" s="24" t="str">
        <f ca="1">INDEX(Time_Table!$A$2:$J$9,MATCH(TEXT($B$1,"dddd"),Time_Table!$A$2:$A$9,0),MATCH(4,Time_Table!$A$2:$J$2,0))</f>
        <v>CG</v>
      </c>
      <c r="H5" s="24" t="str">
        <f ca="1">INDEX(Time_Table!$A$2:$J$9,MATCH(TEXT($B$1,"dddd"),Time_Table!$A$2:$A$9,0),MATCH(5,Time_Table!$A$2:$J$2,0))</f>
        <v>PHP</v>
      </c>
      <c r="I5" s="24" t="str">
        <f ca="1">INDEX(Time_Table!$A$2:$J$9,MATCH(TEXT($B$1,"dddd"),Time_Table!$A$2:$A$9,0),MATCH(6,Time_Table!$A$2:$J$2,0))</f>
        <v>JAVA</v>
      </c>
      <c r="J5" s="23" t="s">
        <v>33</v>
      </c>
    </row>
    <row r="6" spans="1:10" x14ac:dyDescent="0.25">
      <c r="A6">
        <v>1</v>
      </c>
      <c r="B6" t="s">
        <v>45</v>
      </c>
      <c r="C6" t="s">
        <v>44</v>
      </c>
      <c r="D6" s="17" t="s">
        <v>35</v>
      </c>
      <c r="E6" s="17" t="s">
        <v>35</v>
      </c>
      <c r="F6" s="17" t="s">
        <v>35</v>
      </c>
      <c r="G6" s="17" t="s">
        <v>35</v>
      </c>
      <c r="H6" s="17" t="s">
        <v>35</v>
      </c>
      <c r="I6" s="17" t="s">
        <v>35</v>
      </c>
    </row>
    <row r="7" spans="1:10" x14ac:dyDescent="0.25">
      <c r="A7">
        <v>2</v>
      </c>
      <c r="B7" t="s">
        <v>46</v>
      </c>
      <c r="C7" t="s">
        <v>47</v>
      </c>
      <c r="D7" s="17" t="s">
        <v>35</v>
      </c>
      <c r="E7" s="17" t="s">
        <v>35</v>
      </c>
      <c r="F7" s="17" t="s">
        <v>48</v>
      </c>
      <c r="G7" s="17" t="s">
        <v>35</v>
      </c>
      <c r="H7" s="17" t="s">
        <v>35</v>
      </c>
      <c r="I7" s="17" t="s">
        <v>35</v>
      </c>
      <c r="J7" s="17"/>
    </row>
    <row r="8" spans="1:10" x14ac:dyDescent="0.25">
      <c r="A8">
        <v>3</v>
      </c>
      <c r="B8" t="s">
        <v>46</v>
      </c>
      <c r="C8" t="s">
        <v>49</v>
      </c>
      <c r="D8" s="17" t="s">
        <v>48</v>
      </c>
      <c r="E8" s="17" t="s">
        <v>35</v>
      </c>
      <c r="F8" s="17" t="s">
        <v>35</v>
      </c>
      <c r="G8" s="17" t="s">
        <v>35</v>
      </c>
      <c r="H8" s="17" t="s">
        <v>35</v>
      </c>
      <c r="I8" s="17" t="s">
        <v>35</v>
      </c>
      <c r="J8" s="17" t="s">
        <v>50</v>
      </c>
    </row>
    <row r="9" spans="1:10" x14ac:dyDescent="0.25">
      <c r="A9">
        <v>4</v>
      </c>
      <c r="B9" t="s">
        <v>46</v>
      </c>
      <c r="C9" t="s">
        <v>51</v>
      </c>
      <c r="D9" s="17" t="s">
        <v>35</v>
      </c>
      <c r="E9" s="17" t="s">
        <v>35</v>
      </c>
      <c r="F9" s="17" t="s">
        <v>48</v>
      </c>
      <c r="G9" s="17" t="s">
        <v>48</v>
      </c>
      <c r="H9" s="17" t="s">
        <v>48</v>
      </c>
      <c r="I9" s="17" t="s">
        <v>48</v>
      </c>
    </row>
    <row r="10" spans="1:10" x14ac:dyDescent="0.25">
      <c r="A10" s="59">
        <v>5</v>
      </c>
      <c r="B10" s="59" t="s">
        <v>52</v>
      </c>
      <c r="C10" s="59" t="s">
        <v>53</v>
      </c>
      <c r="D10" s="17" t="s">
        <v>35</v>
      </c>
      <c r="E10" s="17" t="s">
        <v>48</v>
      </c>
      <c r="F10" s="17" t="s">
        <v>48</v>
      </c>
      <c r="G10" s="17" t="s">
        <v>48</v>
      </c>
      <c r="H10" s="17" t="s">
        <v>35</v>
      </c>
      <c r="I10" s="17" t="s">
        <v>35</v>
      </c>
    </row>
  </sheetData>
  <mergeCells count="3">
    <mergeCell ref="C1:J1"/>
    <mergeCell ref="A2:B4"/>
    <mergeCell ref="J2:J4"/>
  </mergeCells>
  <phoneticPr fontId="2" type="noConversion"/>
  <conditionalFormatting sqref="A1:J1048576">
    <cfRule type="expression" dxfId="8" priority="1">
      <formula>$A1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otal_Students">
                <anchor moveWithCells="1" sizeWithCells="1">
                  <from>
                    <xdr:col>8</xdr:col>
                    <xdr:colOff>352425</xdr:colOff>
                    <xdr:row>0</xdr:row>
                    <xdr:rowOff>66675</xdr:rowOff>
                  </from>
                  <to>
                    <xdr:col>9</xdr:col>
                    <xdr:colOff>895350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AED69-6179-4011-A780-A3383DFF7A08}">
  <sheetPr codeName="Sheet2"/>
  <dimension ref="A1:N6"/>
  <sheetViews>
    <sheetView zoomScaleNormal="100" workbookViewId="0">
      <selection activeCell="A2" sqref="A2"/>
    </sheetView>
  </sheetViews>
  <sheetFormatPr defaultRowHeight="15" x14ac:dyDescent="0.25"/>
  <cols>
    <col min="1" max="2" width="9.140625" style="1"/>
    <col min="3" max="3" width="20" style="1" bestFit="1" customWidth="1"/>
    <col min="4" max="4" width="10.42578125" style="1" bestFit="1" customWidth="1"/>
    <col min="5" max="5" width="26.42578125" style="1" bestFit="1" customWidth="1"/>
    <col min="6" max="13" width="13.7109375" style="1" customWidth="1"/>
    <col min="14" max="14" width="10.5703125" style="39" bestFit="1" customWidth="1"/>
  </cols>
  <sheetData>
    <row r="1" spans="1:14" x14ac:dyDescent="0.25">
      <c r="A1" s="52" t="s">
        <v>24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/>
      <c r="M1"/>
      <c r="N1" s="18"/>
    </row>
    <row r="2" spans="1:14" ht="18.75" customHeight="1" x14ac:dyDescent="0.25">
      <c r="A2" s="5" t="s">
        <v>37</v>
      </c>
      <c r="B2" s="34" t="s">
        <v>0</v>
      </c>
      <c r="C2" s="35" t="s">
        <v>25</v>
      </c>
      <c r="D2" s="2" t="s">
        <v>26</v>
      </c>
      <c r="E2" s="16" t="s">
        <v>31</v>
      </c>
      <c r="F2" s="36" t="s">
        <v>1</v>
      </c>
      <c r="G2" s="14" t="s">
        <v>7</v>
      </c>
      <c r="H2" s="37" t="s">
        <v>2</v>
      </c>
      <c r="I2" s="14" t="s">
        <v>4</v>
      </c>
      <c r="J2" s="37" t="s">
        <v>8</v>
      </c>
      <c r="K2" s="14" t="s">
        <v>3</v>
      </c>
      <c r="L2" s="37" t="s">
        <v>9</v>
      </c>
      <c r="M2" s="14" t="s">
        <v>10</v>
      </c>
      <c r="N2" s="19" t="s">
        <v>33</v>
      </c>
    </row>
    <row r="3" spans="1:14" x14ac:dyDescent="0.25">
      <c r="A3" s="1">
        <v>1</v>
      </c>
      <c r="B3" s="1" t="s">
        <v>46</v>
      </c>
      <c r="C3" s="1" t="s">
        <v>47</v>
      </c>
      <c r="D3" s="38">
        <v>45023</v>
      </c>
      <c r="E3" s="1">
        <v>6</v>
      </c>
      <c r="F3" s="1">
        <v>1</v>
      </c>
      <c r="H3" s="1">
        <v>3</v>
      </c>
      <c r="I3" s="1">
        <v>1</v>
      </c>
    </row>
    <row r="4" spans="1:14" x14ac:dyDescent="0.25">
      <c r="A4" s="1">
        <v>2</v>
      </c>
      <c r="B4" s="1" t="s">
        <v>45</v>
      </c>
      <c r="C4" s="1" t="s">
        <v>44</v>
      </c>
      <c r="D4" s="38">
        <v>45023</v>
      </c>
      <c r="E4" s="1">
        <v>6</v>
      </c>
      <c r="F4" s="1">
        <v>1</v>
      </c>
      <c r="H4" s="1">
        <v>3</v>
      </c>
      <c r="I4" s="1">
        <v>1</v>
      </c>
      <c r="K4" s="1">
        <v>1</v>
      </c>
    </row>
    <row r="5" spans="1:14" x14ac:dyDescent="0.25">
      <c r="A5" s="1">
        <v>3</v>
      </c>
      <c r="B5" s="1" t="s">
        <v>46</v>
      </c>
      <c r="C5" s="1" t="s">
        <v>49</v>
      </c>
      <c r="D5" s="38">
        <v>45023</v>
      </c>
      <c r="E5" s="1">
        <v>6</v>
      </c>
      <c r="H5" s="1">
        <v>3</v>
      </c>
      <c r="I5" s="1">
        <v>1</v>
      </c>
      <c r="K5" s="1">
        <v>1</v>
      </c>
      <c r="N5" s="39" t="s">
        <v>50</v>
      </c>
    </row>
    <row r="6" spans="1:14" x14ac:dyDescent="0.25">
      <c r="A6" s="1">
        <v>4</v>
      </c>
      <c r="B6" s="1" t="s">
        <v>46</v>
      </c>
      <c r="C6" s="1" t="s">
        <v>51</v>
      </c>
      <c r="D6" s="38">
        <v>45023</v>
      </c>
      <c r="E6" s="1">
        <v>6</v>
      </c>
      <c r="F6" s="1">
        <v>1</v>
      </c>
      <c r="I6" s="1">
        <v>1</v>
      </c>
    </row>
  </sheetData>
  <mergeCells count="1">
    <mergeCell ref="A1:K1"/>
  </mergeCells>
  <conditionalFormatting sqref="A1:N1 A2 D2:N2 A3:N1048576">
    <cfRule type="expression" dxfId="7" priority="3">
      <formula>$A1&lt;&gt;""</formula>
    </cfRule>
  </conditionalFormatting>
  <conditionalFormatting sqref="B2:C2">
    <cfRule type="expression" dxfId="6" priority="1">
      <formula>$A2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0BD2C-99FD-456B-8EC3-59D0EC3CB9D0}">
  <sheetPr codeName="Sheet3"/>
  <dimension ref="A1:J9"/>
  <sheetViews>
    <sheetView workbookViewId="0">
      <selection activeCell="J8" sqref="J8"/>
    </sheetView>
  </sheetViews>
  <sheetFormatPr defaultRowHeight="15" x14ac:dyDescent="0.25"/>
  <cols>
    <col min="1" max="1" width="9.85546875" customWidth="1"/>
    <col min="2" max="2" width="9.85546875" bestFit="1" customWidth="1"/>
    <col min="3" max="3" width="10.85546875" bestFit="1" customWidth="1"/>
    <col min="4" max="4" width="10.85546875" customWidth="1"/>
    <col min="5" max="5" width="10.85546875" bestFit="1" customWidth="1"/>
    <col min="6" max="6" width="9.85546875" bestFit="1" customWidth="1"/>
    <col min="7" max="7" width="8.85546875" bestFit="1" customWidth="1"/>
    <col min="8" max="8" width="12.7109375" bestFit="1" customWidth="1"/>
    <col min="9" max="9" width="8.85546875" bestFit="1" customWidth="1"/>
    <col min="10" max="10" width="12.7109375" bestFit="1" customWidth="1"/>
  </cols>
  <sheetData>
    <row r="1" spans="1:10" x14ac:dyDescent="0.25">
      <c r="A1" s="56" t="s">
        <v>22</v>
      </c>
      <c r="B1" s="57"/>
      <c r="C1" s="57"/>
      <c r="D1" s="57"/>
      <c r="E1" s="57"/>
      <c r="F1" s="57"/>
      <c r="G1" s="57"/>
      <c r="H1" s="57"/>
      <c r="I1" s="57"/>
      <c r="J1" s="58"/>
    </row>
    <row r="2" spans="1:10" x14ac:dyDescent="0.25">
      <c r="A2" s="4"/>
      <c r="B2" s="4">
        <v>1</v>
      </c>
      <c r="C2" s="4">
        <v>2</v>
      </c>
      <c r="D2" s="4"/>
      <c r="E2" s="4">
        <v>3</v>
      </c>
      <c r="F2" s="4"/>
      <c r="G2" s="4">
        <v>4</v>
      </c>
      <c r="H2" s="4">
        <v>5</v>
      </c>
      <c r="I2" s="4"/>
      <c r="J2" s="4">
        <v>6</v>
      </c>
    </row>
    <row r="3" spans="1:10" ht="31.5" customHeight="1" x14ac:dyDescent="0.25">
      <c r="A3" s="20" t="s">
        <v>23</v>
      </c>
      <c r="B3" s="20" t="s">
        <v>11</v>
      </c>
      <c r="C3" s="20" t="s">
        <v>12</v>
      </c>
      <c r="D3" s="20" t="s">
        <v>17</v>
      </c>
      <c r="E3" s="20" t="s">
        <v>13</v>
      </c>
      <c r="F3" s="20" t="s">
        <v>19</v>
      </c>
      <c r="G3" s="20" t="s">
        <v>14</v>
      </c>
      <c r="H3" s="20" t="s">
        <v>15</v>
      </c>
      <c r="I3" s="20" t="s">
        <v>21</v>
      </c>
      <c r="J3" s="20" t="s">
        <v>16</v>
      </c>
    </row>
    <row r="4" spans="1:10" x14ac:dyDescent="0.25">
      <c r="A4" s="3" t="s">
        <v>38</v>
      </c>
      <c r="B4" s="1" t="s">
        <v>7</v>
      </c>
      <c r="C4" s="1" t="s">
        <v>1</v>
      </c>
      <c r="D4" s="53" t="s">
        <v>18</v>
      </c>
      <c r="E4" s="1" t="s">
        <v>2</v>
      </c>
      <c r="F4" s="53" t="s">
        <v>20</v>
      </c>
      <c r="G4" s="1" t="s">
        <v>4</v>
      </c>
      <c r="H4" s="1" t="s">
        <v>2</v>
      </c>
      <c r="I4" s="53" t="s">
        <v>18</v>
      </c>
      <c r="J4" s="1" t="s">
        <v>3</v>
      </c>
    </row>
    <row r="5" spans="1:10" x14ac:dyDescent="0.25">
      <c r="A5" s="3" t="s">
        <v>39</v>
      </c>
      <c r="B5" s="1" t="s">
        <v>7</v>
      </c>
      <c r="C5" s="1" t="s">
        <v>8</v>
      </c>
      <c r="D5" s="54"/>
      <c r="E5" s="1" t="s">
        <v>4</v>
      </c>
      <c r="F5" s="54"/>
      <c r="G5" s="1" t="s">
        <v>3</v>
      </c>
      <c r="H5" s="1" t="s">
        <v>3</v>
      </c>
      <c r="I5" s="54"/>
      <c r="J5" s="1" t="s">
        <v>3</v>
      </c>
    </row>
    <row r="6" spans="1:10" x14ac:dyDescent="0.25">
      <c r="A6" s="3" t="s">
        <v>40</v>
      </c>
      <c r="B6" s="1" t="s">
        <v>1</v>
      </c>
      <c r="C6" s="1" t="s">
        <v>3</v>
      </c>
      <c r="D6" s="54"/>
      <c r="E6" s="1" t="s">
        <v>1</v>
      </c>
      <c r="F6" s="54"/>
      <c r="G6" s="1" t="s">
        <v>4</v>
      </c>
      <c r="H6" s="1" t="s">
        <v>9</v>
      </c>
      <c r="I6" s="54"/>
      <c r="J6" s="1" t="s">
        <v>2</v>
      </c>
    </row>
    <row r="7" spans="1:10" x14ac:dyDescent="0.25">
      <c r="A7" s="3" t="s">
        <v>41</v>
      </c>
      <c r="B7" s="1" t="s">
        <v>2</v>
      </c>
      <c r="C7" s="1" t="s">
        <v>1</v>
      </c>
      <c r="D7" s="54"/>
      <c r="E7" s="1" t="s">
        <v>3</v>
      </c>
      <c r="F7" s="54"/>
      <c r="G7" s="1" t="s">
        <v>4</v>
      </c>
      <c r="H7" s="1" t="s">
        <v>3</v>
      </c>
      <c r="I7" s="54"/>
      <c r="J7" s="1" t="s">
        <v>4</v>
      </c>
    </row>
    <row r="8" spans="1:10" x14ac:dyDescent="0.25">
      <c r="A8" s="3" t="s">
        <v>42</v>
      </c>
      <c r="B8" s="1" t="s">
        <v>1</v>
      </c>
      <c r="C8" s="1" t="s">
        <v>4</v>
      </c>
      <c r="D8" s="54"/>
      <c r="E8" s="1" t="s">
        <v>3</v>
      </c>
      <c r="F8" s="54"/>
      <c r="G8" s="1" t="s">
        <v>2</v>
      </c>
      <c r="H8" s="1" t="s">
        <v>2</v>
      </c>
      <c r="I8" s="54"/>
      <c r="J8" s="1" t="s">
        <v>2</v>
      </c>
    </row>
    <row r="9" spans="1:10" x14ac:dyDescent="0.25">
      <c r="A9" s="3" t="s">
        <v>43</v>
      </c>
      <c r="B9" s="1" t="s">
        <v>2</v>
      </c>
      <c r="C9" s="1" t="s">
        <v>7</v>
      </c>
      <c r="D9" s="55"/>
      <c r="E9" s="1" t="s">
        <v>1</v>
      </c>
      <c r="F9" s="55"/>
      <c r="G9" s="1" t="s">
        <v>4</v>
      </c>
      <c r="H9" s="1" t="s">
        <v>10</v>
      </c>
      <c r="I9" s="55"/>
      <c r="J9" s="1" t="s">
        <v>10</v>
      </c>
    </row>
  </sheetData>
  <mergeCells count="4">
    <mergeCell ref="D4:D9"/>
    <mergeCell ref="F4:F9"/>
    <mergeCell ref="I4:I9"/>
    <mergeCell ref="A1:J1"/>
  </mergeCells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1727-1428-45FC-9C4F-883F479E7041}">
  <sheetPr codeName="Sheet4"/>
  <dimension ref="A1:C9"/>
  <sheetViews>
    <sheetView workbookViewId="0">
      <selection activeCell="G10" sqref="G10"/>
    </sheetView>
  </sheetViews>
  <sheetFormatPr defaultRowHeight="15" x14ac:dyDescent="0.25"/>
  <cols>
    <col min="2" max="2" width="16" customWidth="1"/>
    <col min="3" max="3" width="12.28515625" bestFit="1" customWidth="1"/>
  </cols>
  <sheetData>
    <row r="1" spans="1:3" ht="15.75" thickBot="1" x14ac:dyDescent="0.3">
      <c r="A1" s="6" t="s">
        <v>28</v>
      </c>
      <c r="B1" s="10" t="s">
        <v>27</v>
      </c>
      <c r="C1" s="7" t="s">
        <v>29</v>
      </c>
    </row>
    <row r="2" spans="1:3" x14ac:dyDescent="0.25">
      <c r="A2" s="8">
        <v>1</v>
      </c>
      <c r="B2" s="11" t="s">
        <v>1</v>
      </c>
      <c r="C2" s="15" t="s">
        <v>30</v>
      </c>
    </row>
    <row r="3" spans="1:3" x14ac:dyDescent="0.25">
      <c r="A3" s="9">
        <v>2</v>
      </c>
      <c r="B3" s="12" t="s">
        <v>7</v>
      </c>
      <c r="C3" s="1"/>
    </row>
    <row r="4" spans="1:3" x14ac:dyDescent="0.25">
      <c r="A4" s="9">
        <v>3</v>
      </c>
      <c r="B4" s="12" t="s">
        <v>2</v>
      </c>
      <c r="C4" s="1"/>
    </row>
    <row r="5" spans="1:3" x14ac:dyDescent="0.25">
      <c r="A5" s="9">
        <v>4</v>
      </c>
      <c r="B5" s="12" t="s">
        <v>4</v>
      </c>
      <c r="C5" s="1"/>
    </row>
    <row r="6" spans="1:3" x14ac:dyDescent="0.25">
      <c r="A6" s="9">
        <v>5</v>
      </c>
      <c r="B6" s="12" t="s">
        <v>8</v>
      </c>
      <c r="C6" s="1"/>
    </row>
    <row r="7" spans="1:3" x14ac:dyDescent="0.25">
      <c r="A7" s="9">
        <v>6</v>
      </c>
      <c r="B7" s="12" t="s">
        <v>3</v>
      </c>
      <c r="C7" s="1"/>
    </row>
    <row r="8" spans="1:3" x14ac:dyDescent="0.25">
      <c r="A8" s="9">
        <v>7</v>
      </c>
      <c r="B8" s="12" t="s">
        <v>9</v>
      </c>
      <c r="C8" s="1"/>
    </row>
    <row r="9" spans="1:3" x14ac:dyDescent="0.25">
      <c r="A9" s="13">
        <v>8</v>
      </c>
      <c r="B9" s="14" t="s">
        <v>10</v>
      </c>
      <c r="C9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Daily_Record</vt:lpstr>
      <vt:lpstr>Attendence_Record</vt:lpstr>
      <vt:lpstr>Time_Table</vt:lpstr>
      <vt:lpstr>Subjects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</dc:creator>
  <cp:lastModifiedBy>DL</cp:lastModifiedBy>
  <dcterms:created xsi:type="dcterms:W3CDTF">2023-04-03T13:57:36Z</dcterms:created>
  <dcterms:modified xsi:type="dcterms:W3CDTF">2023-04-24T18:10:04Z</dcterms:modified>
</cp:coreProperties>
</file>